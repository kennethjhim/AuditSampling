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E:\1_Audit by David Ricchiute\"/>
    </mc:Choice>
  </mc:AlternateContent>
  <bookViews>
    <workbookView xWindow="0" yWindow="465" windowWidth="25605" windowHeight="15465" tabRatio="500"/>
  </bookViews>
  <sheets>
    <sheet name="Sheet1" sheetId="1" r:id="rId1"/>
    <sheet name="Sheet2" sheetId="2" r:id="rId2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3" i="1" l="1"/>
  <c r="J7" i="1"/>
  <c r="J8" i="1"/>
  <c r="J9" i="1"/>
  <c r="J10" i="1"/>
  <c r="J6" i="1"/>
  <c r="K7" i="1"/>
  <c r="K8" i="1"/>
  <c r="K9" i="1"/>
  <c r="K10" i="1"/>
  <c r="K6" i="1"/>
  <c r="F8" i="1"/>
  <c r="F9" i="1"/>
  <c r="F10" i="1"/>
  <c r="F7" i="1"/>
  <c r="F6" i="1"/>
  <c r="I7" i="1"/>
  <c r="I8" i="1"/>
  <c r="I9" i="1"/>
  <c r="I10" i="1"/>
  <c r="I6" i="1"/>
</calcChain>
</file>

<file path=xl/sharedStrings.xml><?xml version="1.0" encoding="utf-8"?>
<sst xmlns="http://schemas.openxmlformats.org/spreadsheetml/2006/main" count="17" uniqueCount="17">
  <si>
    <t>Attribute</t>
  </si>
  <si>
    <t>Acceptable Risk of Assessing Control Risk Too Low</t>
  </si>
  <si>
    <t>Tolerable Rate of Deviation</t>
  </si>
  <si>
    <t>Expected Population Deviation Rate</t>
  </si>
  <si>
    <t>Sample Size</t>
  </si>
  <si>
    <t>Table</t>
  </si>
  <si>
    <t>Used</t>
  </si>
  <si>
    <t>Number of Deviations</t>
  </si>
  <si>
    <t>Sample Deviation Rate</t>
  </si>
  <si>
    <t>Maximum Population Deviation Rate</t>
  </si>
  <si>
    <t>Attribute Estimation Worksheet - Sales Returns</t>
  </si>
  <si>
    <t>2. Quantity and other data on credit memo agrees with the receiving reports.</t>
  </si>
  <si>
    <t>1. Unit pricing and extensions on the credit memo are accurate.</t>
  </si>
  <si>
    <t>3. Quantity and description on credit memo agree with perpetual inventory.</t>
  </si>
  <si>
    <t>4. Entry poperly recorded as debit to Inventory and credit to Cost of Goods Sold</t>
  </si>
  <si>
    <t>5. Entry properly recorded as debit to Sales Returns and credit to Accounts Receivable</t>
  </si>
  <si>
    <t>Maximum Population Deviation Rate (VBA)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</si>
</sst>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190500</xdr:colOff>
      <xdr:row>5</xdr:row>
      <xdr:rowOff>38100</xdr:rowOff>
    </xdr:from>
    <xdr:to>
      <xdr:col>16</xdr:col>
      <xdr:colOff>313995</xdr:colOff>
      <xdr:row>6</xdr:row>
      <xdr:rowOff>199955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EAEAC0-194D-42F9-A729-15139C70F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49775" y="1438275"/>
          <a:ext cx="2638095" cy="5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12</xdr:row>
      <xdr:rowOff>0</xdr:rowOff>
    </xdr:from>
    <xdr:to>
      <xdr:col>7</xdr:col>
      <xdr:colOff>942609</xdr:colOff>
      <xdr:row>15</xdr:row>
      <xdr:rowOff>66592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A53B6F-F456-4C54-8499-293EE2581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39075" y="3800475"/>
          <a:ext cx="2923809" cy="6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3"/>
  <sheetViews>
    <sheetView tabSelected="1" topLeftCell="E4" workbookViewId="0">
      <selection activeCell="L5" sqref="L5:L11"/>
    </sheetView>
  </sheetViews>
  <sheetFormatPr defaultColWidth="11" defaultRowHeight="15.75" x14ac:dyDescent="0.25"/>
  <cols>
    <col min="2" max="2" width="40.5" style="1" customWidth="1"/>
    <col min="3" max="5" width="17.125" customWidth="1"/>
    <col min="6" max="7" width="13" customWidth="1"/>
    <col min="8" max="10" width="17.125" customWidth="1"/>
    <col min="11" max="11" width="21.625" customWidth="1"/>
  </cols>
  <sheetData>
    <row r="2" spans="2:11" x14ac:dyDescent="0.25">
      <c r="B2" s="4" t="s">
        <v>10</v>
      </c>
      <c r="C2" s="4"/>
      <c r="D2" s="4"/>
      <c r="E2" s="4"/>
      <c r="F2" s="4"/>
      <c r="G2" s="4"/>
      <c r="H2" s="4"/>
      <c r="I2" s="4"/>
      <c r="J2" s="4"/>
    </row>
    <row r="4" spans="2:11" x14ac:dyDescent="0.25">
      <c r="F4" s="4" t="s">
        <v>4</v>
      </c>
      <c r="G4" s="4"/>
    </row>
    <row r="5" spans="2:11" ht="47.25" x14ac:dyDescent="0.25">
      <c r="B5" s="2" t="s">
        <v>0</v>
      </c>
      <c r="C5" s="2" t="s">
        <v>1</v>
      </c>
      <c r="D5" s="2" t="s">
        <v>2</v>
      </c>
      <c r="E5" s="2" t="s">
        <v>3</v>
      </c>
      <c r="F5" s="2" t="s">
        <v>5</v>
      </c>
      <c r="G5" s="2" t="s">
        <v>6</v>
      </c>
      <c r="H5" s="2" t="s">
        <v>7</v>
      </c>
      <c r="I5" s="2" t="s">
        <v>8</v>
      </c>
      <c r="J5" s="2" t="s">
        <v>9</v>
      </c>
      <c r="K5" s="3" t="s">
        <v>16</v>
      </c>
    </row>
    <row r="6" spans="2:11" ht="31.5" x14ac:dyDescent="0.25">
      <c r="B6" s="1" t="s">
        <v>12</v>
      </c>
      <c r="C6">
        <v>0.05</v>
      </c>
      <c r="D6">
        <v>0.04</v>
      </c>
      <c r="E6">
        <v>7.4999999999999997E-3</v>
      </c>
      <c r="F6">
        <f>BinomSample(C6,E6,D6)</f>
        <v>117</v>
      </c>
      <c r="G6">
        <v>125</v>
      </c>
      <c r="H6">
        <v>1</v>
      </c>
      <c r="I6">
        <f>H6/G6</f>
        <v>8.0000000000000002E-3</v>
      </c>
      <c r="J6">
        <f>BETAINV(1-C6,1+H6,G6-H6)</f>
        <v>3.7387294119617276E-2</v>
      </c>
      <c r="K6">
        <f>BinomUpperLimit_Attr(C6,H6,G6)</f>
        <v>3.7387294119617276E-2</v>
      </c>
    </row>
    <row r="7" spans="2:11" ht="31.5" x14ac:dyDescent="0.25">
      <c r="B7" s="1" t="s">
        <v>11</v>
      </c>
      <c r="C7">
        <v>0.05</v>
      </c>
      <c r="D7">
        <v>0.05</v>
      </c>
      <c r="E7">
        <v>1.4999999999999999E-2</v>
      </c>
      <c r="F7">
        <f>BinomSample(C7,E7,D7)</f>
        <v>124</v>
      </c>
      <c r="G7">
        <v>125</v>
      </c>
      <c r="H7">
        <v>2</v>
      </c>
      <c r="I7">
        <f t="shared" ref="I7:I10" si="0">H7/G7</f>
        <v>1.6E-2</v>
      </c>
      <c r="J7">
        <f t="shared" ref="J7:J10" si="1">BETAINV(1-C7,1+H7,G7-H7)</f>
        <v>4.9507837291373646E-2</v>
      </c>
      <c r="K7">
        <f t="shared" ref="K7:K10" si="2">BinomUpperLimit_Attr(C7,H7,G7)</f>
        <v>4.9507837291373646E-2</v>
      </c>
    </row>
    <row r="8" spans="2:11" ht="31.5" x14ac:dyDescent="0.25">
      <c r="B8" s="1" t="s">
        <v>13</v>
      </c>
      <c r="C8">
        <v>0.1</v>
      </c>
      <c r="D8">
        <v>0.08</v>
      </c>
      <c r="E8">
        <v>0.02</v>
      </c>
      <c r="F8">
        <f t="shared" ref="F8:F10" si="3">BinomSample(C8,E8,D8)</f>
        <v>48</v>
      </c>
      <c r="G8">
        <v>50</v>
      </c>
      <c r="H8">
        <v>1</v>
      </c>
      <c r="I8">
        <f t="shared" si="0"/>
        <v>0.02</v>
      </c>
      <c r="J8">
        <f t="shared" si="1"/>
        <v>7.5580598845327973E-2</v>
      </c>
      <c r="K8">
        <f t="shared" si="2"/>
        <v>7.5580598845327973E-2</v>
      </c>
    </row>
    <row r="9" spans="2:11" ht="31.5" x14ac:dyDescent="0.25">
      <c r="B9" s="1" t="s">
        <v>14</v>
      </c>
      <c r="C9">
        <v>0.05</v>
      </c>
      <c r="D9">
        <v>0.05</v>
      </c>
      <c r="E9">
        <v>0.01</v>
      </c>
      <c r="F9">
        <f t="shared" si="3"/>
        <v>93</v>
      </c>
      <c r="G9">
        <v>100</v>
      </c>
      <c r="H9">
        <v>0</v>
      </c>
      <c r="I9">
        <f t="shared" si="0"/>
        <v>0</v>
      </c>
      <c r="J9">
        <f t="shared" si="1"/>
        <v>2.9513049607039932E-2</v>
      </c>
      <c r="K9">
        <f t="shared" si="2"/>
        <v>2.9513049607039932E-2</v>
      </c>
    </row>
    <row r="10" spans="2:11" ht="31.5" x14ac:dyDescent="0.25">
      <c r="B10" s="1" t="s">
        <v>15</v>
      </c>
      <c r="C10">
        <v>0.05</v>
      </c>
      <c r="D10">
        <v>0.05</v>
      </c>
      <c r="E10">
        <v>0.01</v>
      </c>
      <c r="F10">
        <f t="shared" si="3"/>
        <v>93</v>
      </c>
      <c r="G10">
        <v>100</v>
      </c>
      <c r="H10">
        <v>0</v>
      </c>
      <c r="I10">
        <f t="shared" si="0"/>
        <v>0</v>
      </c>
      <c r="J10">
        <f t="shared" si="1"/>
        <v>2.9513049607039932E-2</v>
      </c>
      <c r="K10">
        <f t="shared" si="2"/>
        <v>2.9513049607039932E-2</v>
      </c>
    </row>
    <row r="13" spans="2:11" x14ac:dyDescent="0.25">
      <c r="J13">
        <f>COMBIN(3,2)</f>
        <v>3</v>
      </c>
    </row>
  </sheetData>
  <mergeCells count="2">
    <mergeCell ref="F4:G4"/>
    <mergeCell ref="B2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K15" sqref="K15"/>
    </sheetView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Infante</dc:creator>
  <cp:lastModifiedBy>Kenneth Infante</cp:lastModifiedBy>
  <dcterms:created xsi:type="dcterms:W3CDTF">2017-11-20T04:43:56Z</dcterms:created>
  <dcterms:modified xsi:type="dcterms:W3CDTF">2017-12-01T14:25:05Z</dcterms:modified>
</cp:coreProperties>
</file>