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E:\1_Audit by David Ricchiute\"/>
    </mc:Choice>
  </mc:AlternateContent>
  <bookViews>
    <workbookView xWindow="0" yWindow="0" windowWidth="22260" windowHeight="12645"/>
  </bookViews>
  <sheets>
    <sheet name="Worksheet" sheetId="1" r:id="rId1"/>
    <sheet name="Table" sheetId="3" r:id="rId2"/>
    <sheet name="Notes" sheetId="2" r:id="rId3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G21" i="1"/>
  <c r="G19" i="1"/>
  <c r="H20" i="1"/>
  <c r="I20" i="1"/>
  <c r="H21" i="1"/>
  <c r="I21" i="1"/>
  <c r="I33" i="1"/>
  <c r="B36" i="1"/>
  <c r="B37" i="1"/>
  <c r="B43" i="1"/>
  <c r="B42" i="1"/>
  <c r="B35" i="1"/>
  <c r="I28" i="1"/>
  <c r="B14" i="1"/>
  <c r="B13" i="1"/>
  <c r="F28" i="1"/>
  <c r="F33" i="1"/>
  <c r="D33" i="1"/>
  <c r="C33" i="1"/>
  <c r="B33" i="1"/>
  <c r="D28" i="1"/>
  <c r="D21" i="1"/>
  <c r="E21" i="1"/>
  <c r="B7" i="1"/>
  <c r="B10" i="1"/>
  <c r="B12" i="1"/>
  <c r="F21" i="1"/>
  <c r="D20" i="1"/>
  <c r="E20" i="1"/>
  <c r="F20" i="1"/>
  <c r="C6" i="3"/>
  <c r="D6" i="3"/>
  <c r="E6" i="3"/>
  <c r="F6" i="3"/>
  <c r="G6" i="3"/>
  <c r="H6" i="3"/>
  <c r="I6" i="3"/>
  <c r="J6" i="3"/>
  <c r="K6" i="3"/>
  <c r="C7" i="3"/>
  <c r="D7" i="3"/>
  <c r="E7" i="3"/>
  <c r="F7" i="3"/>
  <c r="G7" i="3"/>
  <c r="H7" i="3"/>
  <c r="I7" i="3"/>
  <c r="J7" i="3"/>
  <c r="K7" i="3"/>
  <c r="C8" i="3"/>
  <c r="D8" i="3"/>
  <c r="E8" i="3"/>
  <c r="F8" i="3"/>
  <c r="G8" i="3"/>
  <c r="H8" i="3"/>
  <c r="I8" i="3"/>
  <c r="J8" i="3"/>
  <c r="K8" i="3"/>
  <c r="C9" i="3"/>
  <c r="D9" i="3"/>
  <c r="E9" i="3"/>
  <c r="F9" i="3"/>
  <c r="G9" i="3"/>
  <c r="H9" i="3"/>
  <c r="I9" i="3"/>
  <c r="J9" i="3"/>
  <c r="K9" i="3"/>
  <c r="C10" i="3"/>
  <c r="D10" i="3"/>
  <c r="E10" i="3"/>
  <c r="F10" i="3"/>
  <c r="G10" i="3"/>
  <c r="H10" i="3"/>
  <c r="I10" i="3"/>
  <c r="J10" i="3"/>
  <c r="K10" i="3"/>
  <c r="C11" i="3"/>
  <c r="D11" i="3"/>
  <c r="E11" i="3"/>
  <c r="F11" i="3"/>
  <c r="G11" i="3"/>
  <c r="H11" i="3"/>
  <c r="I11" i="3"/>
  <c r="J11" i="3"/>
  <c r="K11" i="3"/>
  <c r="C12" i="3"/>
  <c r="D12" i="3"/>
  <c r="E12" i="3"/>
  <c r="F12" i="3"/>
  <c r="G12" i="3"/>
  <c r="H12" i="3"/>
  <c r="I12" i="3"/>
  <c r="J12" i="3"/>
  <c r="K12" i="3"/>
  <c r="C13" i="3"/>
  <c r="D13" i="3"/>
  <c r="E13" i="3"/>
  <c r="F13" i="3"/>
  <c r="G13" i="3"/>
  <c r="H13" i="3"/>
  <c r="I13" i="3"/>
  <c r="J13" i="3"/>
  <c r="K13" i="3"/>
  <c r="C14" i="3"/>
  <c r="D14" i="3"/>
  <c r="E14" i="3"/>
  <c r="F14" i="3"/>
  <c r="G14" i="3"/>
  <c r="H14" i="3"/>
  <c r="I14" i="3"/>
  <c r="J14" i="3"/>
  <c r="K14" i="3"/>
  <c r="C15" i="3"/>
  <c r="D15" i="3"/>
  <c r="E15" i="3"/>
  <c r="F15" i="3"/>
  <c r="G15" i="3"/>
  <c r="H15" i="3"/>
  <c r="I15" i="3"/>
  <c r="J15" i="3"/>
  <c r="K15" i="3"/>
  <c r="C16" i="3"/>
  <c r="D16" i="3"/>
  <c r="E16" i="3"/>
  <c r="F16" i="3"/>
  <c r="G16" i="3"/>
  <c r="H16" i="3"/>
  <c r="I16" i="3"/>
  <c r="J16" i="3"/>
  <c r="K16" i="3"/>
  <c r="C17" i="3"/>
  <c r="D17" i="3"/>
  <c r="E17" i="3"/>
  <c r="F17" i="3"/>
  <c r="G17" i="3"/>
  <c r="H17" i="3"/>
  <c r="I17" i="3"/>
  <c r="J17" i="3"/>
  <c r="K17" i="3"/>
  <c r="C18" i="3"/>
  <c r="D18" i="3"/>
  <c r="E18" i="3"/>
  <c r="F18" i="3"/>
  <c r="G18" i="3"/>
  <c r="H18" i="3"/>
  <c r="I18" i="3"/>
  <c r="J18" i="3"/>
  <c r="K18" i="3"/>
  <c r="C19" i="3"/>
  <c r="D19" i="3"/>
  <c r="E19" i="3"/>
  <c r="F19" i="3"/>
  <c r="G19" i="3"/>
  <c r="H19" i="3"/>
  <c r="I19" i="3"/>
  <c r="J19" i="3"/>
  <c r="K19" i="3"/>
  <c r="C20" i="3"/>
  <c r="D20" i="3"/>
  <c r="E20" i="3"/>
  <c r="F20" i="3"/>
  <c r="G20" i="3"/>
  <c r="H20" i="3"/>
  <c r="I20" i="3"/>
  <c r="J20" i="3"/>
  <c r="K20" i="3"/>
  <c r="C21" i="3"/>
  <c r="D21" i="3"/>
  <c r="E21" i="3"/>
  <c r="F21" i="3"/>
  <c r="G21" i="3"/>
  <c r="H21" i="3"/>
  <c r="I21" i="3"/>
  <c r="J21" i="3"/>
  <c r="K21" i="3"/>
  <c r="C22" i="3"/>
  <c r="D22" i="3"/>
  <c r="E22" i="3"/>
  <c r="F22" i="3"/>
  <c r="G22" i="3"/>
  <c r="H22" i="3"/>
  <c r="I22" i="3"/>
  <c r="J22" i="3"/>
  <c r="K22" i="3"/>
  <c r="C23" i="3"/>
  <c r="D23" i="3"/>
  <c r="E23" i="3"/>
  <c r="F23" i="3"/>
  <c r="G23" i="3"/>
  <c r="H23" i="3"/>
  <c r="I23" i="3"/>
  <c r="J23" i="3"/>
  <c r="K23" i="3"/>
  <c r="C24" i="3"/>
  <c r="D24" i="3"/>
  <c r="E24" i="3"/>
  <c r="F24" i="3"/>
  <c r="G24" i="3"/>
  <c r="H24" i="3"/>
  <c r="I24" i="3"/>
  <c r="J24" i="3"/>
  <c r="K24" i="3"/>
  <c r="C25" i="3"/>
  <c r="D25" i="3"/>
  <c r="E25" i="3"/>
  <c r="F25" i="3"/>
  <c r="G25" i="3"/>
  <c r="H25" i="3"/>
  <c r="I25" i="3"/>
  <c r="J25" i="3"/>
  <c r="K25" i="3"/>
  <c r="D5" i="3"/>
  <c r="E5" i="3"/>
  <c r="F5" i="3"/>
  <c r="G5" i="3"/>
  <c r="H5" i="3"/>
  <c r="I5" i="3"/>
  <c r="J5" i="3"/>
  <c r="K5" i="3"/>
  <c r="C5" i="3"/>
</calcChain>
</file>

<file path=xl/comments1.xml><?xml version="1.0" encoding="utf-8"?>
<comments xmlns="http://schemas.openxmlformats.org/spreadsheetml/2006/main">
  <authors>
    <author>Kenneth Infante</author>
  </authors>
  <commentList>
    <comment ref="E17" authorId="0" shapeId="0">
      <text>
        <r>
          <rPr>
            <b/>
            <sz val="9"/>
            <color indexed="81"/>
            <rFont val="Tahoma"/>
            <family val="2"/>
          </rPr>
          <t>Kenneth Infante:</t>
        </r>
        <r>
          <rPr>
            <sz val="9"/>
            <color indexed="81"/>
            <rFont val="Tahoma"/>
            <family val="2"/>
          </rPr>
          <t xml:space="preserve">
Tainting percentage NOT computed for logical unit greater than or equal to sampling interval
</t>
        </r>
      </text>
    </comment>
  </commentList>
</comments>
</file>

<file path=xl/sharedStrings.xml><?xml version="1.0" encoding="utf-8"?>
<sst xmlns="http://schemas.openxmlformats.org/spreadsheetml/2006/main" count="29" uniqueCount="28">
  <si>
    <t>Monetary Unit Sampling Worksheet</t>
  </si>
  <si>
    <t>Sample Size Determination</t>
  </si>
  <si>
    <t>INPUTS</t>
  </si>
  <si>
    <t>Population Dollar Value</t>
  </si>
  <si>
    <t>Tolerable Misstatement (dollar amount)</t>
  </si>
  <si>
    <t>Expected Population Exception Rate</t>
  </si>
  <si>
    <t>Acceptable Risk of Incorrect Acceptance</t>
  </si>
  <si>
    <t>Required Sample Size</t>
  </si>
  <si>
    <t>Evaluation of Results</t>
  </si>
  <si>
    <t>Recorded Value</t>
  </si>
  <si>
    <t>Audited Value</t>
  </si>
  <si>
    <t>CONCLUSION:</t>
  </si>
  <si>
    <t>x = POISSONDIST</t>
  </si>
  <si>
    <t>Risk of Incorrect Acceptance</t>
  </si>
  <si>
    <t>Number  of
Overstatement Errors</t>
  </si>
  <si>
    <t>Difference</t>
  </si>
  <si>
    <t>Tainting
Percentage</t>
  </si>
  <si>
    <t>Projected
Error</t>
  </si>
  <si>
    <t>Sampling Interval</t>
  </si>
  <si>
    <t>Logical Unit &gt;= Sampling Interval</t>
  </si>
  <si>
    <t>Logical Unit &lt; Sampling Interval</t>
  </si>
  <si>
    <t>Basic Precision</t>
  </si>
  <si>
    <t>Reliability Factor at 15% Beta</t>
  </si>
  <si>
    <t>Reliability
Factor</t>
  </si>
  <si>
    <t>RF Increment</t>
  </si>
  <si>
    <t>Projected Error x RF Increment</t>
  </si>
  <si>
    <t>Incremental Allowance</t>
  </si>
  <si>
    <t>Allowance for Sampling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</si>
</sst>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2"/>
      <color rgb="FF0000FF"/>
      <name val="Garamond"/>
      <family val="1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43" fontId="0" fillId="0" borderId="0" xfId="1" applyFont="1"/>
    <xf numFmtId="9" fontId="0" fillId="0" borderId="0" xfId="0" applyNumberFormat="1"/>
    <xf numFmtId="0" fontId="4" fillId="0" borderId="0" xfId="0" applyFont="1"/>
    <xf numFmtId="0" fontId="6" fillId="0" borderId="1" xfId="0" applyFont="1" applyBorder="1" applyAlignment="1">
      <alignment horizontal="center"/>
    </xf>
    <xf numFmtId="0" fontId="5" fillId="0" borderId="0" xfId="0" applyFont="1" applyAlignment="1"/>
    <xf numFmtId="0" fontId="7" fillId="0" borderId="0" xfId="0" applyNumberFormat="1" applyFont="1" applyAlignment="1">
      <alignment horizontal="center"/>
    </xf>
    <xf numFmtId="43" fontId="0" fillId="0" borderId="0" xfId="0" applyNumberFormat="1"/>
    <xf numFmtId="0" fontId="7" fillId="0" borderId="0" xfId="0" applyNumberFormat="1" applyFont="1" applyAlignment="1">
      <alignment horizontal="left"/>
    </xf>
    <xf numFmtId="0" fontId="6" fillId="0" borderId="0" xfId="0" applyNumberFormat="1" applyFont="1" applyAlignment="1">
      <alignment horizontal="right"/>
    </xf>
    <xf numFmtId="0" fontId="6" fillId="0" borderId="0" xfId="0" applyNumberFormat="1" applyFont="1"/>
    <xf numFmtId="43" fontId="0" fillId="0" borderId="0" xfId="1" applyFont="1" applyBorder="1"/>
    <xf numFmtId="0" fontId="0" fillId="0" borderId="0" xfId="0" applyBorder="1"/>
    <xf numFmtId="43" fontId="0" fillId="0" borderId="2" xfId="0" applyNumberFormat="1" applyBorder="1"/>
    <xf numFmtId="0" fontId="0" fillId="0" borderId="2" xfId="0" applyBorder="1"/>
    <xf numFmtId="43" fontId="10" fillId="0" borderId="0" xfId="1" applyFont="1"/>
    <xf numFmtId="0" fontId="6" fillId="0" borderId="1" xfId="0" applyNumberFormat="1" applyFont="1" applyBorder="1" applyAlignment="1">
      <alignment horizontal="center" wrapText="1"/>
    </xf>
    <xf numFmtId="43" fontId="10" fillId="0" borderId="0" xfId="0" applyNumberFormat="1" applyFont="1"/>
    <xf numFmtId="43" fontId="11" fillId="0" borderId="0" xfId="0" applyNumberFormat="1" applyFont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180976</xdr:rowOff>
    </xdr:from>
    <xdr:to>
      <xdr:col>11</xdr:col>
      <xdr:colOff>0</xdr:colOff>
      <xdr:row>10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7CA0A9-DB80-442B-95F7-C75958D9F788}"/>
            </a:ext>
          </a:extLst>
        </xdr:cNvPr>
        <xdr:cNvSpPr txBox="1"/>
      </xdr:nvSpPr>
      <xdr:spPr>
        <a:xfrm>
          <a:off x="6657975" y="371476"/>
          <a:ext cx="5353050" cy="15335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/>
            <a:t>The</a:t>
          </a:r>
          <a:r>
            <a:rPr lang="en-PH" sz="1100" baseline="0"/>
            <a:t> method using BinomDist  for MUS sampling</a:t>
          </a:r>
        </a:p>
        <a:p>
          <a:r>
            <a:rPr lang="en-PH" sz="1100" baseline="0"/>
            <a:t>is much simpler and straightforward to apply. Also, the BinomDist method considers understatements explicitly. </a:t>
          </a:r>
        </a:p>
        <a:p>
          <a:endParaRPr lang="en-PH" sz="1100" baseline="0"/>
        </a:p>
        <a:p>
          <a:r>
            <a:rPr lang="en-PH" sz="1100" baseline="0"/>
            <a:t>The method in here uses PoissonDist. It is especially suited for accounts that are susceptible to overstatements like A/R and Inventory. Special consideration should be given to understatements.</a:t>
          </a:r>
        </a:p>
        <a:p>
          <a:endParaRPr lang="en-PH" sz="1100"/>
        </a:p>
      </xdr:txBody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7</xdr:col>
      <xdr:colOff>485775</xdr:colOff>
      <xdr:row>13</xdr:row>
      <xdr:rowOff>18996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A56A9C-DC01-4277-ADEF-D248244E20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802" r="6474"/>
        <a:stretch/>
      </xdr:blipFill>
      <xdr:spPr>
        <a:xfrm>
          <a:off x="6648450" y="2095500"/>
          <a:ext cx="2447925" cy="428571"/>
        </a:xfrm>
        <a:prstGeom prst="rect">
          <a:avLst/>
        </a:prstGeom>
        <a:ln>
          <a:solidFill>
            <a:srgbClr val="0000FF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16</xdr:col>
      <xdr:colOff>9525</xdr:colOff>
      <xdr:row>5</xdr:row>
      <xdr:rowOff>47571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A0FFD6-9A90-4A4F-A22D-D9288FCACA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802" r="6474"/>
        <a:stretch/>
      </xdr:blipFill>
      <xdr:spPr>
        <a:xfrm>
          <a:off x="7896225" y="571500"/>
          <a:ext cx="2447925" cy="428571"/>
        </a:xfrm>
        <a:prstGeom prst="rect">
          <a:avLst/>
        </a:prstGeom>
        <a:ln>
          <a:solidFill>
            <a:srgbClr val="0000FF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11</xdr:col>
      <xdr:colOff>113524</xdr:colOff>
      <xdr:row>31</xdr:row>
      <xdr:rowOff>104048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BE518A-FDD2-489B-A746-64F24CF16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6209524" cy="58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3"/>
  <sheetViews>
    <sheetView tabSelected="1" topLeftCell="A7" workbookViewId="0">
      <selection activeCell="K18" sqref="K18"/>
    </sheetView>
  </sheetViews>
  <sheetFormatPr defaultRowHeight="15" x14ac:dyDescent="0.25"/>
  <cols>
    <col min="1" max="1" width="37.28515625" bestFit="1" customWidth="1"/>
    <col min="2" max="3" width="15.28515625" customWidth="1"/>
    <col min="4" max="4" width="13" customWidth="1"/>
    <col min="5" max="5" width="18.85546875" bestFit="1" customWidth="1"/>
    <col min="6" max="6" width="14.42578125" bestFit="1" customWidth="1"/>
    <col min="7" max="8" width="15" customWidth="1"/>
    <col min="9" max="9" width="17.7109375" customWidth="1"/>
  </cols>
  <sheetData>
    <row r="1" spans="1:4" x14ac:dyDescent="0.25">
      <c r="A1" s="1" t="s">
        <v>0</v>
      </c>
    </row>
    <row r="2" spans="1:4" x14ac:dyDescent="0.25">
      <c r="A2" s="1"/>
    </row>
    <row r="3" spans="1:4" x14ac:dyDescent="0.25">
      <c r="A3" s="1" t="s">
        <v>1</v>
      </c>
    </row>
    <row r="4" spans="1:4" x14ac:dyDescent="0.25">
      <c r="B4" s="2" t="s">
        <v>2</v>
      </c>
    </row>
    <row r="5" spans="1:4" x14ac:dyDescent="0.25">
      <c r="A5" t="s">
        <v>3</v>
      </c>
      <c r="B5" s="3">
        <v>1750000</v>
      </c>
    </row>
    <row r="6" spans="1:4" x14ac:dyDescent="0.25">
      <c r="A6" t="s">
        <v>4</v>
      </c>
      <c r="B6" s="3">
        <v>43750</v>
      </c>
    </row>
    <row r="7" spans="1:4" x14ac:dyDescent="0.25">
      <c r="A7" t="s">
        <v>5</v>
      </c>
      <c r="B7" s="3">
        <f>9000/B5</f>
        <v>5.1428571428571426E-3</v>
      </c>
    </row>
    <row r="8" spans="1:4" x14ac:dyDescent="0.25">
      <c r="A8" t="s">
        <v>6</v>
      </c>
      <c r="B8" s="4">
        <v>0.15</v>
      </c>
    </row>
    <row r="10" spans="1:4" x14ac:dyDescent="0.25">
      <c r="A10" t="s">
        <v>7</v>
      </c>
      <c r="B10">
        <f>PoissonSample(B8,B7,B6/B5)</f>
        <v>111</v>
      </c>
    </row>
    <row r="12" spans="1:4" x14ac:dyDescent="0.25">
      <c r="A12" t="s">
        <v>18</v>
      </c>
      <c r="B12" s="3">
        <f>$B$5/$B$10</f>
        <v>15765.765765765766</v>
      </c>
    </row>
    <row r="13" spans="1:4" ht="17.25" x14ac:dyDescent="0.4">
      <c r="A13" t="s">
        <v>22</v>
      </c>
      <c r="B13" s="17">
        <f>ROUND(_xlfn.GAMMA.INV(1-B8,1+0,1),2)</f>
        <v>1.9</v>
      </c>
    </row>
    <row r="14" spans="1:4" x14ac:dyDescent="0.25">
      <c r="A14" t="s">
        <v>21</v>
      </c>
      <c r="B14" s="3">
        <f>B12*B13</f>
        <v>29954.954954954952</v>
      </c>
    </row>
    <row r="16" spans="1:4" ht="15.75" x14ac:dyDescent="0.25">
      <c r="A16" s="5" t="s">
        <v>8</v>
      </c>
      <c r="D16" s="7"/>
    </row>
    <row r="17" spans="1:9" ht="26.25" x14ac:dyDescent="0.25">
      <c r="A17" s="6" t="s">
        <v>12</v>
      </c>
      <c r="B17" s="18" t="s">
        <v>9</v>
      </c>
      <c r="C17" s="18" t="s">
        <v>10</v>
      </c>
      <c r="D17" s="18" t="s">
        <v>15</v>
      </c>
      <c r="E17" s="18" t="s">
        <v>16</v>
      </c>
      <c r="F17" s="18" t="s">
        <v>17</v>
      </c>
      <c r="G17" s="18" t="s">
        <v>23</v>
      </c>
      <c r="H17" s="18" t="s">
        <v>24</v>
      </c>
      <c r="I17" s="18" t="s">
        <v>25</v>
      </c>
    </row>
    <row r="18" spans="1:9" x14ac:dyDescent="0.25">
      <c r="A18" s="8" t="s">
        <v>20</v>
      </c>
      <c r="B18" s="3"/>
      <c r="C18" s="3"/>
    </row>
    <row r="19" spans="1:9" x14ac:dyDescent="0.25">
      <c r="A19" s="8">
        <v>0</v>
      </c>
      <c r="B19" s="3"/>
      <c r="C19" s="3"/>
      <c r="G19" s="3">
        <f>ROUND(ReliabilityFactor($B$8,A19),2)</f>
        <v>1.9</v>
      </c>
      <c r="H19" s="9"/>
    </row>
    <row r="20" spans="1:9" x14ac:dyDescent="0.25">
      <c r="A20" s="8">
        <v>1</v>
      </c>
      <c r="B20" s="3">
        <v>12000</v>
      </c>
      <c r="C20" s="3">
        <v>9000</v>
      </c>
      <c r="D20" s="9">
        <f>B20-C20</f>
        <v>3000</v>
      </c>
      <c r="E20">
        <f>D20/B20</f>
        <v>0.25</v>
      </c>
      <c r="F20" s="9">
        <f>IF(E20&lt;&gt;0,E20*$B$12,D20)</f>
        <v>3941.4414414414414</v>
      </c>
      <c r="G20" s="3">
        <f t="shared" ref="G20:G21" si="0">ROUND(ReliabilityFactor($B$8,A20),2)</f>
        <v>3.37</v>
      </c>
      <c r="H20" s="9">
        <f t="shared" ref="H20:H21" si="1">G20-G19</f>
        <v>1.4700000000000002</v>
      </c>
      <c r="I20" s="3">
        <f>IF(H20&lt;&gt;0,H20*F20,F20)</f>
        <v>5793.9189189189192</v>
      </c>
    </row>
    <row r="21" spans="1:9" x14ac:dyDescent="0.25">
      <c r="A21" s="8">
        <v>2</v>
      </c>
      <c r="B21" s="3">
        <v>10000</v>
      </c>
      <c r="C21" s="3">
        <v>9500</v>
      </c>
      <c r="D21" s="9">
        <f>B21-C21</f>
        <v>500</v>
      </c>
      <c r="E21">
        <f>D21/B21</f>
        <v>0.05</v>
      </c>
      <c r="F21" s="9">
        <f>IF(E21&lt;&gt;0,E21*$B$12,D21)</f>
        <v>788.2882882882883</v>
      </c>
      <c r="G21" s="3">
        <f t="shared" si="0"/>
        <v>4.72</v>
      </c>
      <c r="H21" s="9">
        <f t="shared" si="1"/>
        <v>1.3499999999999996</v>
      </c>
      <c r="I21" s="3">
        <f>IF(H21&lt;&gt;0,H21*F21,F21)</f>
        <v>1064.1891891891889</v>
      </c>
    </row>
    <row r="22" spans="1:9" x14ac:dyDescent="0.25">
      <c r="A22" s="8">
        <v>3</v>
      </c>
      <c r="B22" s="3"/>
      <c r="C22" s="3"/>
    </row>
    <row r="23" spans="1:9" x14ac:dyDescent="0.25">
      <c r="A23" s="8">
        <v>4</v>
      </c>
      <c r="B23" s="3"/>
      <c r="C23" s="3"/>
    </row>
    <row r="24" spans="1:9" x14ac:dyDescent="0.25">
      <c r="A24" s="8">
        <v>5</v>
      </c>
      <c r="B24" s="3"/>
      <c r="C24" s="3"/>
    </row>
    <row r="25" spans="1:9" x14ac:dyDescent="0.25">
      <c r="A25" s="10"/>
    </row>
    <row r="26" spans="1:9" x14ac:dyDescent="0.25">
      <c r="A26" s="8" t="s">
        <v>19</v>
      </c>
    </row>
    <row r="27" spans="1:9" x14ac:dyDescent="0.25">
      <c r="A27" s="8">
        <v>0</v>
      </c>
      <c r="B27" s="3"/>
      <c r="C27" s="3"/>
    </row>
    <row r="28" spans="1:9" x14ac:dyDescent="0.25">
      <c r="A28" s="8">
        <v>1</v>
      </c>
      <c r="B28" s="3">
        <v>29000</v>
      </c>
      <c r="C28" s="3">
        <v>25500</v>
      </c>
      <c r="D28" s="3">
        <f>B28-C28</f>
        <v>3500</v>
      </c>
      <c r="E28" s="3">
        <v>0</v>
      </c>
      <c r="F28" s="3">
        <f>IF(E28&lt;&gt;0,E28*$B$12,D28)</f>
        <v>3500</v>
      </c>
      <c r="G28" s="3">
        <v>0</v>
      </c>
      <c r="H28" s="3">
        <v>0</v>
      </c>
      <c r="I28" s="3">
        <f>IF(H28&lt;&gt;0,H28*F28,F28)</f>
        <v>3500</v>
      </c>
    </row>
    <row r="29" spans="1:9" x14ac:dyDescent="0.25">
      <c r="A29" s="8">
        <v>2</v>
      </c>
      <c r="B29" s="3"/>
      <c r="C29" s="3"/>
    </row>
    <row r="30" spans="1:9" x14ac:dyDescent="0.25">
      <c r="A30" s="8">
        <v>3</v>
      </c>
      <c r="B30" s="3"/>
      <c r="C30" s="3"/>
    </row>
    <row r="31" spans="1:9" x14ac:dyDescent="0.25">
      <c r="A31" s="8">
        <v>4</v>
      </c>
      <c r="B31" s="3"/>
      <c r="C31" s="3"/>
    </row>
    <row r="32" spans="1:9" x14ac:dyDescent="0.25">
      <c r="A32" s="8">
        <v>5</v>
      </c>
      <c r="B32" s="13"/>
      <c r="C32" s="13"/>
      <c r="D32" s="14"/>
      <c r="E32" s="14"/>
      <c r="F32" s="14"/>
    </row>
    <row r="33" spans="1:9" ht="15.75" thickBot="1" x14ac:dyDescent="0.3">
      <c r="B33" s="15">
        <f>SUM(B18:B32)</f>
        <v>51000</v>
      </c>
      <c r="C33" s="15">
        <f>SUM(C18:C32)</f>
        <v>44000</v>
      </c>
      <c r="D33" s="15">
        <f>SUM(D18:D32)</f>
        <v>7000</v>
      </c>
      <c r="E33" s="16"/>
      <c r="F33" s="15">
        <f>SUM(F18:F32)</f>
        <v>8229.72972972973</v>
      </c>
      <c r="G33" s="15"/>
      <c r="H33" s="15"/>
      <c r="I33" s="15">
        <f t="shared" ref="I33" si="2">SUM(I18:I32)</f>
        <v>10358.108108108108</v>
      </c>
    </row>
    <row r="34" spans="1:9" ht="15.75" thickTop="1" x14ac:dyDescent="0.25"/>
    <row r="35" spans="1:9" x14ac:dyDescent="0.25">
      <c r="A35" t="s">
        <v>21</v>
      </c>
      <c r="B35" s="9">
        <f>B14</f>
        <v>29954.954954954952</v>
      </c>
    </row>
    <row r="36" spans="1:9" ht="17.25" x14ac:dyDescent="0.4">
      <c r="A36" t="s">
        <v>26</v>
      </c>
      <c r="B36" s="19">
        <f>I33</f>
        <v>10358.108108108108</v>
      </c>
    </row>
    <row r="37" spans="1:9" ht="17.25" x14ac:dyDescent="0.4">
      <c r="A37" t="s">
        <v>27</v>
      </c>
      <c r="B37" s="20">
        <f>SUM(B35:B36)</f>
        <v>40313.063063063062</v>
      </c>
    </row>
    <row r="42" spans="1:9" x14ac:dyDescent="0.25">
      <c r="A42" s="11" t="s">
        <v>11</v>
      </c>
      <c r="B42" s="12" t="str">
        <f>IF(B37&lt;B6,"Accept the population as fairly stated","Reject the population as materially misstated")</f>
        <v>Accept the population as fairly stated</v>
      </c>
    </row>
    <row r="43" spans="1:9" x14ac:dyDescent="0.25">
      <c r="B43" s="1" t="str">
        <f>IF(B37&lt;B6,CONCATENATE("Population is not overstated by more than ",B6,"."),CONCATENATE("Population is overstated by  ",B6," or more."))</f>
        <v>Population is not overstated by more than 43750.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K25"/>
  <sheetViews>
    <sheetView workbookViewId="0">
      <selection activeCell="G7" sqref="G7"/>
    </sheetView>
  </sheetViews>
  <sheetFormatPr defaultRowHeight="15" x14ac:dyDescent="0.25"/>
  <cols>
    <col min="2" max="2" width="17.85546875" customWidth="1"/>
  </cols>
  <sheetData>
    <row r="3" spans="2:11" x14ac:dyDescent="0.25">
      <c r="B3" s="22" t="s">
        <v>14</v>
      </c>
      <c r="C3" s="21" t="s">
        <v>13</v>
      </c>
      <c r="D3" s="21"/>
      <c r="E3" s="21"/>
      <c r="F3" s="21"/>
      <c r="G3" s="21"/>
      <c r="H3" s="21"/>
      <c r="I3" s="21"/>
      <c r="J3" s="21"/>
      <c r="K3" s="21"/>
    </row>
    <row r="4" spans="2:11" x14ac:dyDescent="0.25">
      <c r="B4" s="23"/>
      <c r="C4" s="1">
        <v>0.01</v>
      </c>
      <c r="D4" s="1">
        <v>0.05</v>
      </c>
      <c r="E4" s="1">
        <v>0.1</v>
      </c>
      <c r="F4" s="1">
        <v>0.15</v>
      </c>
      <c r="G4" s="1">
        <v>0.2</v>
      </c>
      <c r="H4" s="1">
        <v>0.25</v>
      </c>
      <c r="I4" s="1">
        <v>0.3</v>
      </c>
      <c r="J4" s="1">
        <v>0.37</v>
      </c>
      <c r="K4" s="1">
        <v>0.5</v>
      </c>
    </row>
    <row r="5" spans="2:11" x14ac:dyDescent="0.25">
      <c r="B5" s="1">
        <v>0</v>
      </c>
      <c r="C5">
        <f>ROUND(_xlfn.GAMMA.INV(1-C$4,1+$B5,1),2)</f>
        <v>4.6100000000000003</v>
      </c>
      <c r="D5">
        <f t="shared" ref="D5:K20" si="0">ROUND(_xlfn.GAMMA.INV(1-D$4,1+$B5,1),2)</f>
        <v>3</v>
      </c>
      <c r="E5">
        <f t="shared" si="0"/>
        <v>2.2999999999999998</v>
      </c>
      <c r="F5">
        <f t="shared" si="0"/>
        <v>1.9</v>
      </c>
      <c r="G5">
        <f t="shared" si="0"/>
        <v>1.61</v>
      </c>
      <c r="H5">
        <f t="shared" si="0"/>
        <v>1.39</v>
      </c>
      <c r="I5">
        <f t="shared" si="0"/>
        <v>1.2</v>
      </c>
      <c r="J5">
        <f t="shared" si="0"/>
        <v>0.99</v>
      </c>
      <c r="K5">
        <f t="shared" si="0"/>
        <v>0.69</v>
      </c>
    </row>
    <row r="6" spans="2:11" x14ac:dyDescent="0.25">
      <c r="B6" s="1">
        <v>1</v>
      </c>
      <c r="C6">
        <f t="shared" ref="C6:K25" si="1">ROUND(_xlfn.GAMMA.INV(1-C$4,1+$B6,1),2)</f>
        <v>6.64</v>
      </c>
      <c r="D6">
        <f t="shared" si="0"/>
        <v>4.74</v>
      </c>
      <c r="E6">
        <f t="shared" si="0"/>
        <v>3.89</v>
      </c>
      <c r="F6">
        <f t="shared" si="0"/>
        <v>3.37</v>
      </c>
      <c r="G6">
        <f t="shared" si="0"/>
        <v>2.99</v>
      </c>
      <c r="H6">
        <f t="shared" si="0"/>
        <v>2.69</v>
      </c>
      <c r="I6">
        <f t="shared" si="0"/>
        <v>2.44</v>
      </c>
      <c r="J6">
        <f t="shared" si="0"/>
        <v>2.14</v>
      </c>
      <c r="K6">
        <f t="shared" si="0"/>
        <v>1.68</v>
      </c>
    </row>
    <row r="7" spans="2:11" x14ac:dyDescent="0.25">
      <c r="B7" s="1">
        <v>2</v>
      </c>
      <c r="C7">
        <f t="shared" si="1"/>
        <v>8.41</v>
      </c>
      <c r="D7">
        <f t="shared" si="0"/>
        <v>6.3</v>
      </c>
      <c r="E7">
        <f t="shared" si="0"/>
        <v>5.32</v>
      </c>
      <c r="F7">
        <f t="shared" si="0"/>
        <v>4.72</v>
      </c>
      <c r="G7">
        <f t="shared" si="0"/>
        <v>4.28</v>
      </c>
      <c r="H7">
        <f t="shared" si="0"/>
        <v>3.92</v>
      </c>
      <c r="I7">
        <f t="shared" si="0"/>
        <v>3.62</v>
      </c>
      <c r="J7">
        <f t="shared" si="0"/>
        <v>3.25</v>
      </c>
      <c r="K7">
        <f t="shared" si="0"/>
        <v>2.67</v>
      </c>
    </row>
    <row r="8" spans="2:11" x14ac:dyDescent="0.25">
      <c r="B8" s="1">
        <v>3</v>
      </c>
      <c r="C8">
        <f t="shared" si="1"/>
        <v>10.050000000000001</v>
      </c>
      <c r="D8">
        <f t="shared" si="0"/>
        <v>7.75</v>
      </c>
      <c r="E8">
        <f t="shared" si="0"/>
        <v>6.68</v>
      </c>
      <c r="F8">
        <f t="shared" si="0"/>
        <v>6.01</v>
      </c>
      <c r="G8">
        <f t="shared" si="0"/>
        <v>5.52</v>
      </c>
      <c r="H8">
        <f t="shared" si="0"/>
        <v>5.1100000000000003</v>
      </c>
      <c r="I8">
        <f t="shared" si="0"/>
        <v>4.76</v>
      </c>
      <c r="J8">
        <f t="shared" si="0"/>
        <v>4.34</v>
      </c>
      <c r="K8">
        <f t="shared" si="0"/>
        <v>3.67</v>
      </c>
    </row>
    <row r="9" spans="2:11" x14ac:dyDescent="0.25">
      <c r="B9" s="1">
        <v>4</v>
      </c>
      <c r="C9">
        <f t="shared" si="1"/>
        <v>11.6</v>
      </c>
      <c r="D9">
        <f t="shared" si="0"/>
        <v>9.15</v>
      </c>
      <c r="E9">
        <f t="shared" si="0"/>
        <v>7.99</v>
      </c>
      <c r="F9">
        <f t="shared" si="0"/>
        <v>7.27</v>
      </c>
      <c r="G9">
        <f t="shared" si="0"/>
        <v>6.72</v>
      </c>
      <c r="H9">
        <f t="shared" si="0"/>
        <v>6.27</v>
      </c>
      <c r="I9">
        <f t="shared" si="0"/>
        <v>5.89</v>
      </c>
      <c r="J9">
        <f t="shared" si="0"/>
        <v>5.42</v>
      </c>
      <c r="K9">
        <f t="shared" si="0"/>
        <v>4.67</v>
      </c>
    </row>
    <row r="10" spans="2:11" x14ac:dyDescent="0.25">
      <c r="B10" s="1">
        <v>5</v>
      </c>
      <c r="C10">
        <f t="shared" si="1"/>
        <v>13.11</v>
      </c>
      <c r="D10">
        <f t="shared" si="0"/>
        <v>10.51</v>
      </c>
      <c r="E10">
        <f t="shared" si="0"/>
        <v>9.27</v>
      </c>
      <c r="F10">
        <f t="shared" si="0"/>
        <v>8.49</v>
      </c>
      <c r="G10">
        <f t="shared" si="0"/>
        <v>7.91</v>
      </c>
      <c r="H10">
        <f t="shared" si="0"/>
        <v>7.42</v>
      </c>
      <c r="I10">
        <f t="shared" si="0"/>
        <v>7.01</v>
      </c>
      <c r="J10">
        <f t="shared" si="0"/>
        <v>6.49</v>
      </c>
      <c r="K10">
        <f t="shared" si="0"/>
        <v>5.67</v>
      </c>
    </row>
    <row r="11" spans="2:11" x14ac:dyDescent="0.25">
      <c r="B11" s="1">
        <v>6</v>
      </c>
      <c r="C11">
        <f t="shared" si="1"/>
        <v>14.57</v>
      </c>
      <c r="D11">
        <f t="shared" si="0"/>
        <v>11.84</v>
      </c>
      <c r="E11">
        <f t="shared" si="0"/>
        <v>10.53</v>
      </c>
      <c r="F11">
        <f t="shared" si="0"/>
        <v>9.6999999999999993</v>
      </c>
      <c r="G11">
        <f t="shared" si="0"/>
        <v>9.08</v>
      </c>
      <c r="H11">
        <f t="shared" si="0"/>
        <v>8.56</v>
      </c>
      <c r="I11">
        <f t="shared" si="0"/>
        <v>8.11</v>
      </c>
      <c r="J11">
        <f t="shared" si="0"/>
        <v>7.56</v>
      </c>
      <c r="K11">
        <f t="shared" si="0"/>
        <v>6.67</v>
      </c>
    </row>
    <row r="12" spans="2:11" x14ac:dyDescent="0.25">
      <c r="B12" s="1">
        <v>7</v>
      </c>
      <c r="C12">
        <f t="shared" si="1"/>
        <v>16</v>
      </c>
      <c r="D12">
        <f t="shared" si="0"/>
        <v>13.15</v>
      </c>
      <c r="E12">
        <f t="shared" si="0"/>
        <v>11.77</v>
      </c>
      <c r="F12">
        <f t="shared" si="0"/>
        <v>10.9</v>
      </c>
      <c r="G12">
        <f t="shared" si="0"/>
        <v>10.23</v>
      </c>
      <c r="H12">
        <f t="shared" si="0"/>
        <v>9.68</v>
      </c>
      <c r="I12">
        <f t="shared" si="0"/>
        <v>9.2100000000000009</v>
      </c>
      <c r="J12">
        <f t="shared" si="0"/>
        <v>8.6199999999999992</v>
      </c>
      <c r="K12">
        <f t="shared" si="0"/>
        <v>7.67</v>
      </c>
    </row>
    <row r="13" spans="2:11" x14ac:dyDescent="0.25">
      <c r="B13" s="1">
        <v>8</v>
      </c>
      <c r="C13">
        <f t="shared" si="1"/>
        <v>17.399999999999999</v>
      </c>
      <c r="D13">
        <f t="shared" si="0"/>
        <v>14.43</v>
      </c>
      <c r="E13">
        <f t="shared" si="0"/>
        <v>12.99</v>
      </c>
      <c r="F13">
        <f t="shared" si="0"/>
        <v>12.08</v>
      </c>
      <c r="G13">
        <f t="shared" si="0"/>
        <v>11.38</v>
      </c>
      <c r="H13">
        <f t="shared" si="0"/>
        <v>10.8</v>
      </c>
      <c r="I13">
        <f t="shared" si="0"/>
        <v>10.3</v>
      </c>
      <c r="J13">
        <f t="shared" si="0"/>
        <v>9.68</v>
      </c>
      <c r="K13">
        <f t="shared" si="0"/>
        <v>8.67</v>
      </c>
    </row>
    <row r="14" spans="2:11" x14ac:dyDescent="0.25">
      <c r="B14" s="1">
        <v>9</v>
      </c>
      <c r="C14">
        <f t="shared" si="1"/>
        <v>18.78</v>
      </c>
      <c r="D14">
        <f t="shared" si="0"/>
        <v>15.71</v>
      </c>
      <c r="E14">
        <f t="shared" si="0"/>
        <v>14.21</v>
      </c>
      <c r="F14">
        <f t="shared" si="0"/>
        <v>13.25</v>
      </c>
      <c r="G14">
        <f t="shared" si="0"/>
        <v>12.52</v>
      </c>
      <c r="H14">
        <f t="shared" si="0"/>
        <v>11.91</v>
      </c>
      <c r="I14">
        <f t="shared" si="0"/>
        <v>11.39</v>
      </c>
      <c r="J14">
        <f t="shared" si="0"/>
        <v>10.73</v>
      </c>
      <c r="K14">
        <f t="shared" si="0"/>
        <v>9.67</v>
      </c>
    </row>
    <row r="15" spans="2:11" x14ac:dyDescent="0.25">
      <c r="B15" s="1">
        <v>10</v>
      </c>
      <c r="C15">
        <f t="shared" si="1"/>
        <v>20.14</v>
      </c>
      <c r="D15">
        <f t="shared" si="0"/>
        <v>16.96</v>
      </c>
      <c r="E15">
        <f t="shared" si="0"/>
        <v>15.41</v>
      </c>
      <c r="F15">
        <f t="shared" si="0"/>
        <v>14.41</v>
      </c>
      <c r="G15">
        <f t="shared" si="0"/>
        <v>13.65</v>
      </c>
      <c r="H15">
        <f t="shared" si="0"/>
        <v>13.02</v>
      </c>
      <c r="I15">
        <f t="shared" si="0"/>
        <v>12.47</v>
      </c>
      <c r="J15">
        <f t="shared" si="0"/>
        <v>11.79</v>
      </c>
      <c r="K15">
        <f t="shared" si="0"/>
        <v>10.67</v>
      </c>
    </row>
    <row r="16" spans="2:11" x14ac:dyDescent="0.25">
      <c r="B16" s="1">
        <v>11</v>
      </c>
      <c r="C16">
        <f t="shared" si="1"/>
        <v>21.49</v>
      </c>
      <c r="D16">
        <f t="shared" si="0"/>
        <v>18.21</v>
      </c>
      <c r="E16">
        <f t="shared" si="0"/>
        <v>16.600000000000001</v>
      </c>
      <c r="F16">
        <f t="shared" si="0"/>
        <v>15.57</v>
      </c>
      <c r="G16">
        <f t="shared" si="0"/>
        <v>14.78</v>
      </c>
      <c r="H16">
        <f t="shared" si="0"/>
        <v>14.12</v>
      </c>
      <c r="I16">
        <f t="shared" si="0"/>
        <v>13.55</v>
      </c>
      <c r="J16">
        <f t="shared" si="0"/>
        <v>12.84</v>
      </c>
      <c r="K16">
        <f t="shared" si="0"/>
        <v>11.67</v>
      </c>
    </row>
    <row r="17" spans="2:11" x14ac:dyDescent="0.25">
      <c r="B17" s="1">
        <v>12</v>
      </c>
      <c r="C17">
        <f t="shared" si="1"/>
        <v>22.82</v>
      </c>
      <c r="D17">
        <f t="shared" si="0"/>
        <v>19.440000000000001</v>
      </c>
      <c r="E17">
        <f t="shared" si="0"/>
        <v>17.78</v>
      </c>
      <c r="F17">
        <f t="shared" si="0"/>
        <v>16.71</v>
      </c>
      <c r="G17">
        <f t="shared" si="0"/>
        <v>15.9</v>
      </c>
      <c r="H17">
        <f t="shared" si="0"/>
        <v>15.22</v>
      </c>
      <c r="I17">
        <f t="shared" si="0"/>
        <v>14.62</v>
      </c>
      <c r="J17">
        <f t="shared" si="0"/>
        <v>13.88</v>
      </c>
      <c r="K17">
        <f t="shared" si="0"/>
        <v>12.67</v>
      </c>
    </row>
    <row r="18" spans="2:11" x14ac:dyDescent="0.25">
      <c r="B18" s="1">
        <v>13</v>
      </c>
      <c r="C18">
        <f t="shared" si="1"/>
        <v>24.14</v>
      </c>
      <c r="D18">
        <f t="shared" si="0"/>
        <v>20.67</v>
      </c>
      <c r="E18">
        <f t="shared" si="0"/>
        <v>18.96</v>
      </c>
      <c r="F18">
        <f t="shared" si="0"/>
        <v>17.86</v>
      </c>
      <c r="G18">
        <f t="shared" si="0"/>
        <v>17.010000000000002</v>
      </c>
      <c r="H18">
        <f t="shared" si="0"/>
        <v>16.309999999999999</v>
      </c>
      <c r="I18">
        <f t="shared" si="0"/>
        <v>15.7</v>
      </c>
      <c r="J18">
        <f t="shared" si="0"/>
        <v>14.93</v>
      </c>
      <c r="K18">
        <f t="shared" si="0"/>
        <v>13.67</v>
      </c>
    </row>
    <row r="19" spans="2:11" x14ac:dyDescent="0.25">
      <c r="B19" s="1">
        <v>14</v>
      </c>
      <c r="C19">
        <f t="shared" si="1"/>
        <v>25.45</v>
      </c>
      <c r="D19">
        <f t="shared" si="0"/>
        <v>21.89</v>
      </c>
      <c r="E19">
        <f t="shared" si="0"/>
        <v>20.13</v>
      </c>
      <c r="F19">
        <f t="shared" si="0"/>
        <v>19</v>
      </c>
      <c r="G19">
        <f t="shared" si="0"/>
        <v>18.13</v>
      </c>
      <c r="H19">
        <f t="shared" si="0"/>
        <v>17.399999999999999</v>
      </c>
      <c r="I19">
        <f t="shared" si="0"/>
        <v>16.77</v>
      </c>
      <c r="J19">
        <f t="shared" si="0"/>
        <v>15.97</v>
      </c>
      <c r="K19">
        <f t="shared" si="0"/>
        <v>14.67</v>
      </c>
    </row>
    <row r="20" spans="2:11" x14ac:dyDescent="0.25">
      <c r="B20" s="1">
        <v>15</v>
      </c>
      <c r="C20">
        <f t="shared" si="1"/>
        <v>26.74</v>
      </c>
      <c r="D20">
        <f t="shared" si="0"/>
        <v>23.1</v>
      </c>
      <c r="E20">
        <f t="shared" si="0"/>
        <v>21.29</v>
      </c>
      <c r="F20">
        <f t="shared" si="0"/>
        <v>20.13</v>
      </c>
      <c r="G20">
        <f t="shared" si="0"/>
        <v>19.23</v>
      </c>
      <c r="H20">
        <f t="shared" si="0"/>
        <v>18.489999999999998</v>
      </c>
      <c r="I20">
        <f t="shared" si="0"/>
        <v>17.829999999999998</v>
      </c>
      <c r="J20">
        <f t="shared" si="0"/>
        <v>17.02</v>
      </c>
      <c r="K20">
        <f t="shared" si="0"/>
        <v>15.67</v>
      </c>
    </row>
    <row r="21" spans="2:11" x14ac:dyDescent="0.25">
      <c r="B21" s="1">
        <v>16</v>
      </c>
      <c r="C21">
        <f t="shared" si="1"/>
        <v>28.03</v>
      </c>
      <c r="D21">
        <f t="shared" si="1"/>
        <v>24.3</v>
      </c>
      <c r="E21">
        <f t="shared" si="1"/>
        <v>22.45</v>
      </c>
      <c r="F21">
        <f t="shared" si="1"/>
        <v>21.26</v>
      </c>
      <c r="G21">
        <f t="shared" si="1"/>
        <v>20.34</v>
      </c>
      <c r="H21">
        <f t="shared" si="1"/>
        <v>19.57</v>
      </c>
      <c r="I21">
        <f t="shared" si="1"/>
        <v>18.899999999999999</v>
      </c>
      <c r="J21">
        <f t="shared" si="1"/>
        <v>18.059999999999999</v>
      </c>
      <c r="K21">
        <f t="shared" si="1"/>
        <v>16.670000000000002</v>
      </c>
    </row>
    <row r="22" spans="2:11" x14ac:dyDescent="0.25">
      <c r="B22" s="1">
        <v>17</v>
      </c>
      <c r="C22">
        <f t="shared" si="1"/>
        <v>29.31</v>
      </c>
      <c r="D22">
        <f t="shared" si="1"/>
        <v>25.5</v>
      </c>
      <c r="E22">
        <f t="shared" si="1"/>
        <v>23.61</v>
      </c>
      <c r="F22">
        <f t="shared" si="1"/>
        <v>22.38</v>
      </c>
      <c r="G22">
        <f t="shared" si="1"/>
        <v>21.44</v>
      </c>
      <c r="H22">
        <f t="shared" si="1"/>
        <v>20.65</v>
      </c>
      <c r="I22">
        <f t="shared" si="1"/>
        <v>19.96</v>
      </c>
      <c r="J22">
        <f t="shared" si="1"/>
        <v>19.100000000000001</v>
      </c>
      <c r="K22">
        <f t="shared" si="1"/>
        <v>17.670000000000002</v>
      </c>
    </row>
    <row r="23" spans="2:11" x14ac:dyDescent="0.25">
      <c r="B23" s="1">
        <v>18</v>
      </c>
      <c r="C23">
        <f t="shared" si="1"/>
        <v>30.58</v>
      </c>
      <c r="D23">
        <f t="shared" si="1"/>
        <v>26.69</v>
      </c>
      <c r="E23">
        <f t="shared" si="1"/>
        <v>24.76</v>
      </c>
      <c r="F23">
        <f t="shared" si="1"/>
        <v>23.5</v>
      </c>
      <c r="G23">
        <f t="shared" si="1"/>
        <v>22.54</v>
      </c>
      <c r="H23">
        <f t="shared" si="1"/>
        <v>21.73</v>
      </c>
      <c r="I23">
        <f t="shared" si="1"/>
        <v>21.02</v>
      </c>
      <c r="J23">
        <f t="shared" si="1"/>
        <v>20.14</v>
      </c>
      <c r="K23">
        <f t="shared" si="1"/>
        <v>18.670000000000002</v>
      </c>
    </row>
    <row r="24" spans="2:11" x14ac:dyDescent="0.25">
      <c r="B24" s="1">
        <v>19</v>
      </c>
      <c r="C24">
        <f t="shared" si="1"/>
        <v>31.85</v>
      </c>
      <c r="D24">
        <f t="shared" si="1"/>
        <v>27.88</v>
      </c>
      <c r="E24">
        <f t="shared" si="1"/>
        <v>25.9</v>
      </c>
      <c r="F24">
        <f t="shared" si="1"/>
        <v>24.62</v>
      </c>
      <c r="G24">
        <f t="shared" si="1"/>
        <v>23.63</v>
      </c>
      <c r="H24">
        <f t="shared" si="1"/>
        <v>22.81</v>
      </c>
      <c r="I24">
        <f t="shared" si="1"/>
        <v>22.08</v>
      </c>
      <c r="J24">
        <f t="shared" si="1"/>
        <v>21.17</v>
      </c>
      <c r="K24">
        <f t="shared" si="1"/>
        <v>19.670000000000002</v>
      </c>
    </row>
    <row r="25" spans="2:11" x14ac:dyDescent="0.25">
      <c r="B25" s="1">
        <v>20</v>
      </c>
      <c r="C25">
        <f t="shared" si="1"/>
        <v>33.1</v>
      </c>
      <c r="D25">
        <f t="shared" si="1"/>
        <v>29.06</v>
      </c>
      <c r="E25">
        <f t="shared" si="1"/>
        <v>27.05</v>
      </c>
      <c r="F25">
        <f t="shared" si="1"/>
        <v>25.74</v>
      </c>
      <c r="G25">
        <f t="shared" si="1"/>
        <v>24.73</v>
      </c>
      <c r="H25">
        <f t="shared" si="1"/>
        <v>23.88</v>
      </c>
      <c r="I25">
        <f t="shared" si="1"/>
        <v>23.14</v>
      </c>
      <c r="J25">
        <f t="shared" si="1"/>
        <v>22.21</v>
      </c>
      <c r="K25">
        <f t="shared" si="1"/>
        <v>20.67</v>
      </c>
    </row>
  </sheetData>
  <mergeCells count="2">
    <mergeCell ref="C3:K3"/>
    <mergeCell ref="B3:B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8" sqref="P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</vt:lpstr>
      <vt:lpstr>Table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Kenneth Infante</cp:lastModifiedBy>
  <dcterms:created xsi:type="dcterms:W3CDTF">2015-06-05T18:17:20Z</dcterms:created>
  <dcterms:modified xsi:type="dcterms:W3CDTF">2017-12-01T14:56:00Z</dcterms:modified>
</cp:coreProperties>
</file>