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E:\1_Audit by David Ricchiute\"/>
    </mc:Choice>
  </mc:AlternateContent>
  <bookViews>
    <workbookView xWindow="0" yWindow="0" windowWidth="22260" windowHeight="12645"/>
  </bookViews>
  <sheets>
    <sheet name="Worksheet" sheetId="1" r:id="rId1"/>
    <sheet name="Notes" sheetId="2" r:id="rId2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E18" i="1"/>
  <c r="E19" i="1"/>
  <c r="E16" i="1"/>
  <c r="F17" i="1"/>
  <c r="F16" i="1"/>
  <c r="F18" i="1"/>
  <c r="F19" i="1"/>
  <c r="F27" i="1"/>
  <c r="F29" i="1"/>
  <c r="B49" i="1"/>
  <c r="F46" i="1"/>
  <c r="F45" i="1"/>
  <c r="F44" i="1"/>
  <c r="F28" i="1"/>
  <c r="F34" i="1"/>
  <c r="F33" i="1"/>
  <c r="E34" i="1"/>
  <c r="E33" i="1"/>
  <c r="D34" i="1"/>
  <c r="B10" i="1"/>
  <c r="D18" i="1"/>
  <c r="D19" i="1"/>
  <c r="D17" i="1"/>
</calcChain>
</file>

<file path=xl/comments1.xml><?xml version="1.0" encoding="utf-8"?>
<comments xmlns="http://schemas.openxmlformats.org/spreadsheetml/2006/main">
  <authors>
    <author>Author</author>
    <author>Kenneth Infante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Overstatement:
(Recorded Value - Audited Value)/Recorded Value</t>
        </r>
      </text>
    </comment>
    <comment ref="E14" authorId="1" shapeId="0">
      <text>
        <r>
          <rPr>
            <b/>
            <sz val="9"/>
            <color indexed="81"/>
            <rFont val="Tahoma"/>
            <family val="2"/>
          </rPr>
          <t>Kenneth Infante:</t>
        </r>
        <r>
          <rPr>
            <sz val="9"/>
            <color indexed="81"/>
            <rFont val="Tahoma"/>
            <family val="2"/>
          </rPr>
          <t xml:space="preserve">
Uses Inverse Beta Distribution</t>
        </r>
      </text>
    </comment>
    <comment ref="F14" authorId="1" shapeId="0">
      <text>
        <r>
          <rPr>
            <b/>
            <sz val="9"/>
            <color indexed="81"/>
            <rFont val="Tahoma"/>
            <family val="2"/>
          </rPr>
          <t>Kenneth Infante:</t>
        </r>
        <r>
          <rPr>
            <sz val="9"/>
            <color indexed="81"/>
            <rFont val="Tahoma"/>
            <family val="2"/>
          </rPr>
          <t xml:space="preserve">
Estimated Misstatement:
Population Value * Percentage Misstatement * Upper Limit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</rPr>
          <t>Kenneth Infante:</t>
        </r>
        <r>
          <rPr>
            <sz val="9"/>
            <color indexed="81"/>
            <rFont val="Tahoma"/>
            <family val="2"/>
          </rPr>
          <t xml:space="preserve">
Sampling Interval x Sum of % Understatement k=1 to last item
where: Sampling Interval = Population/Sample Size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Overstatement:
(Recorded Value - Audited Value)/Audited Value</t>
        </r>
      </text>
    </comment>
    <comment ref="E31" authorId="1" shapeId="0">
      <text>
        <r>
          <rPr>
            <b/>
            <sz val="9"/>
            <color indexed="81"/>
            <rFont val="Tahoma"/>
            <family val="2"/>
          </rPr>
          <t>Kenneth Infante:</t>
        </r>
        <r>
          <rPr>
            <sz val="9"/>
            <color indexed="81"/>
            <rFont val="Tahoma"/>
            <family val="2"/>
          </rPr>
          <t xml:space="preserve">
Uses Inverse Beta Distribution</t>
        </r>
      </text>
    </comment>
    <comment ref="F31" authorId="1" shapeId="0">
      <text>
        <r>
          <rPr>
            <b/>
            <sz val="9"/>
            <color indexed="81"/>
            <rFont val="Tahoma"/>
            <family val="2"/>
          </rPr>
          <t>Kenneth Infante:</t>
        </r>
        <r>
          <rPr>
            <sz val="9"/>
            <color indexed="81"/>
            <rFont val="Tahoma"/>
            <family val="2"/>
          </rPr>
          <t xml:space="preserve">
Estimated Misstatement:
Population Value * Percentage Misstatement * Upper Limit
</t>
        </r>
      </text>
    </comment>
  </commentList>
</comments>
</file>

<file path=xl/sharedStrings.xml><?xml version="1.0" encoding="utf-8"?>
<sst xmlns="http://schemas.openxmlformats.org/spreadsheetml/2006/main" count="30" uniqueCount="24">
  <si>
    <t>Monetary Unit Sampling Worksheet</t>
  </si>
  <si>
    <t>Sample Size Determination</t>
  </si>
  <si>
    <t>INPUTS</t>
  </si>
  <si>
    <t>Population Dollar Value</t>
  </si>
  <si>
    <t>Tolerable Misstatement (dollar amount)</t>
  </si>
  <si>
    <t>Expected Population Exception Rate</t>
  </si>
  <si>
    <t>Acceptable Risk of Incorrect Acceptance</t>
  </si>
  <si>
    <t>Required Sample Size</t>
  </si>
  <si>
    <t>Evaluation of Results</t>
  </si>
  <si>
    <t>Recorded Value</t>
  </si>
  <si>
    <t>x = BINOMDIST</t>
  </si>
  <si>
    <t>Audited Value</t>
  </si>
  <si>
    <t>Percentage Misstatement</t>
  </si>
  <si>
    <t>Upper Limit</t>
  </si>
  <si>
    <t>Estimated Misstatement</t>
  </si>
  <si>
    <t>Overstatements</t>
  </si>
  <si>
    <t>Initial Overstatement Estimate</t>
  </si>
  <si>
    <t>Less: Point Estimate of Understatement</t>
  </si>
  <si>
    <t>Adjusted Overstatement Estimate</t>
  </si>
  <si>
    <t>Understatements</t>
  </si>
  <si>
    <t>Initial Understatement Estimate</t>
  </si>
  <si>
    <t>Less: Point Estimate of Overstatement</t>
  </si>
  <si>
    <t>Adjusted Understatement Estimate</t>
  </si>
  <si>
    <t>CONCLUSION: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</si>
</sst>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2"/>
      <color rgb="FF0000FF"/>
      <name val="Garamond"/>
      <family val="1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43" fontId="0" fillId="0" borderId="0" xfId="1" applyFont="1"/>
    <xf numFmtId="9" fontId="0" fillId="0" borderId="0" xfId="0" applyNumberFormat="1"/>
    <xf numFmtId="0" fontId="4" fillId="0" borderId="0" xfId="0" applyFont="1"/>
    <xf numFmtId="0" fontId="6" fillId="0" borderId="1" xfId="0" applyFont="1" applyBorder="1" applyAlignment="1">
      <alignment horizontal="center"/>
    </xf>
    <xf numFmtId="0" fontId="7" fillId="0" borderId="1" xfId="0" applyNumberFormat="1" applyFont="1" applyBorder="1" applyAlignment="1">
      <alignment horizontal="center" wrapText="1"/>
    </xf>
    <xf numFmtId="0" fontId="5" fillId="0" borderId="0" xfId="0" applyFont="1" applyAlignment="1"/>
    <xf numFmtId="0" fontId="0" fillId="0" borderId="0" xfId="0" applyAlignment="1">
      <alignment horizontal="center"/>
    </xf>
    <xf numFmtId="0" fontId="7" fillId="0" borderId="0" xfId="0" applyNumberFormat="1" applyFont="1" applyAlignment="1">
      <alignment horizontal="center"/>
    </xf>
    <xf numFmtId="10" fontId="7" fillId="0" borderId="0" xfId="0" applyNumberFormat="1" applyFont="1" applyAlignment="1" applyProtection="1">
      <alignment horizontal="center"/>
      <protection locked="0"/>
    </xf>
    <xf numFmtId="9" fontId="0" fillId="0" borderId="0" xfId="0" applyNumberFormat="1" applyAlignment="1">
      <alignment horizontal="center"/>
    </xf>
    <xf numFmtId="10" fontId="7" fillId="0" borderId="1" xfId="2" applyNumberFormat="1" applyFont="1" applyBorder="1" applyAlignment="1">
      <alignment horizontal="center" wrapText="1"/>
    </xf>
    <xf numFmtId="10" fontId="0" fillId="0" borderId="0" xfId="2" applyNumberFormat="1" applyFont="1" applyAlignment="1">
      <alignment horizontal="center"/>
    </xf>
    <xf numFmtId="10" fontId="5" fillId="0" borderId="0" xfId="2" applyNumberFormat="1" applyFont="1" applyAlignment="1">
      <alignment horizontal="center"/>
    </xf>
    <xf numFmtId="43" fontId="0" fillId="0" borderId="0" xfId="0" applyNumberFormat="1"/>
    <xf numFmtId="0" fontId="7" fillId="0" borderId="0" xfId="0" applyNumberFormat="1" applyFont="1" applyAlignment="1">
      <alignment horizontal="left"/>
    </xf>
    <xf numFmtId="0" fontId="0" fillId="0" borderId="1" xfId="0" applyBorder="1"/>
    <xf numFmtId="10" fontId="7" fillId="0" borderId="0" xfId="0" applyNumberFormat="1" applyFont="1" applyAlignment="1">
      <alignment horizontal="center"/>
    </xf>
    <xf numFmtId="10" fontId="7" fillId="0" borderId="0" xfId="0" applyNumberFormat="1" applyFont="1" applyAlignment="1" applyProtection="1">
      <alignment horizontal="center"/>
    </xf>
    <xf numFmtId="43" fontId="0" fillId="0" borderId="2" xfId="1" applyFont="1" applyBorder="1"/>
    <xf numFmtId="0" fontId="0" fillId="0" borderId="0" xfId="0" applyNumberFormat="1" applyAlignment="1">
      <alignment horizontal="left"/>
    </xf>
    <xf numFmtId="43" fontId="0" fillId="0" borderId="3" xfId="1" applyFont="1" applyBorder="1"/>
    <xf numFmtId="43" fontId="0" fillId="0" borderId="1" xfId="1" applyFont="1" applyBorder="1"/>
    <xf numFmtId="0" fontId="6" fillId="0" borderId="0" xfId="0" applyNumberFormat="1" applyFont="1" applyAlignment="1">
      <alignment horizontal="right"/>
    </xf>
    <xf numFmtId="0" fontId="6" fillId="0" borderId="0" xfId="0" applyNumberFormat="1" applyFont="1"/>
    <xf numFmtId="1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4"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113524</xdr:colOff>
      <xdr:row>31</xdr:row>
      <xdr:rowOff>104048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BE518A-FDD2-489B-A746-64F24CF16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6209524" cy="58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9"/>
  <sheetViews>
    <sheetView tabSelected="1" topLeftCell="A7" workbookViewId="0">
      <selection activeCell="G14" sqref="G14:G20"/>
    </sheetView>
  </sheetViews>
  <sheetFormatPr defaultRowHeight="15" x14ac:dyDescent="0.25"/>
  <cols>
    <col min="1" max="1" width="37.28515625" bestFit="1" customWidth="1"/>
    <col min="2" max="4" width="15.28515625" customWidth="1"/>
    <col min="5" max="5" width="12.5703125" style="14" customWidth="1"/>
    <col min="6" max="6" width="15.28515625" customWidth="1"/>
  </cols>
  <sheetData>
    <row r="1" spans="1:7" x14ac:dyDescent="0.25">
      <c r="A1" s="1" t="s">
        <v>0</v>
      </c>
    </row>
    <row r="2" spans="1:7" x14ac:dyDescent="0.25">
      <c r="A2" s="1"/>
    </row>
    <row r="3" spans="1:7" x14ac:dyDescent="0.25">
      <c r="A3" s="1" t="s">
        <v>1</v>
      </c>
    </row>
    <row r="4" spans="1:7" x14ac:dyDescent="0.25">
      <c r="B4" s="2" t="s">
        <v>2</v>
      </c>
    </row>
    <row r="5" spans="1:7" x14ac:dyDescent="0.25">
      <c r="A5" t="s">
        <v>3</v>
      </c>
      <c r="B5" s="3">
        <v>300000</v>
      </c>
    </row>
    <row r="6" spans="1:7" x14ac:dyDescent="0.25">
      <c r="A6" t="s">
        <v>4</v>
      </c>
      <c r="B6" s="3">
        <v>27000</v>
      </c>
    </row>
    <row r="7" spans="1:7" x14ac:dyDescent="0.25">
      <c r="A7" t="s">
        <v>5</v>
      </c>
      <c r="B7" s="4">
        <v>0.04</v>
      </c>
    </row>
    <row r="8" spans="1:7" x14ac:dyDescent="0.25">
      <c r="A8" t="s">
        <v>6</v>
      </c>
      <c r="B8" s="4">
        <v>0.05</v>
      </c>
    </row>
    <row r="10" spans="1:7" x14ac:dyDescent="0.25">
      <c r="A10" t="s">
        <v>7</v>
      </c>
      <c r="B10">
        <f>BinomSample(B8,B7,B6/B5)</f>
        <v>100</v>
      </c>
    </row>
    <row r="13" spans="1:7" ht="15.75" x14ac:dyDescent="0.25">
      <c r="A13" s="5" t="s">
        <v>8</v>
      </c>
      <c r="E13" s="15"/>
      <c r="F13" s="8"/>
      <c r="G13" s="8"/>
    </row>
    <row r="14" spans="1:7" ht="26.25" x14ac:dyDescent="0.25">
      <c r="A14" s="6" t="s">
        <v>10</v>
      </c>
      <c r="B14" s="7" t="s">
        <v>9</v>
      </c>
      <c r="C14" s="7" t="s">
        <v>11</v>
      </c>
      <c r="D14" s="7" t="s">
        <v>12</v>
      </c>
      <c r="E14" s="13" t="s">
        <v>13</v>
      </c>
      <c r="F14" s="7" t="s">
        <v>14</v>
      </c>
    </row>
    <row r="15" spans="1:7" x14ac:dyDescent="0.25">
      <c r="A15" s="9" t="s">
        <v>15</v>
      </c>
      <c r="B15" s="3"/>
      <c r="C15" s="3"/>
    </row>
    <row r="16" spans="1:7" x14ac:dyDescent="0.25">
      <c r="A16" s="10">
        <v>0</v>
      </c>
      <c r="B16" s="3"/>
      <c r="C16" s="3"/>
      <c r="D16" s="12">
        <v>1</v>
      </c>
      <c r="E16" s="14">
        <f>ROUND(BinomUpperLimit_MUS($B$8,A16,$B$10),3)</f>
        <v>0.03</v>
      </c>
      <c r="F16" s="16">
        <f>$B$5*D16*E16</f>
        <v>9000</v>
      </c>
      <c r="G16" s="27"/>
    </row>
    <row r="17" spans="1:7" x14ac:dyDescent="0.25">
      <c r="A17" s="10">
        <v>1</v>
      </c>
      <c r="B17" s="3">
        <v>975</v>
      </c>
      <c r="C17" s="3">
        <v>159.9</v>
      </c>
      <c r="D17" s="11">
        <f>IF(B17&lt;C17,"Understatement",(IF(B17&gt;C17,(B17-C17)/B17,0)))</f>
        <v>0.83600000000000008</v>
      </c>
      <c r="E17" s="14">
        <f t="shared" ref="E17:E19" si="0">ROUND(BinomUpperLimit_MUS($B$8,A17,$B$10),3)</f>
        <v>1.7000000000000001E-2</v>
      </c>
      <c r="F17" s="16">
        <f t="shared" ref="F17:F19" si="1">$B$5*D17*E17</f>
        <v>4263.6000000000004</v>
      </c>
      <c r="G17" s="27"/>
    </row>
    <row r="18" spans="1:7" x14ac:dyDescent="0.25">
      <c r="A18" s="10">
        <v>2</v>
      </c>
      <c r="B18" s="3">
        <v>1650</v>
      </c>
      <c r="C18" s="3">
        <v>572.54999999999995</v>
      </c>
      <c r="D18" s="11">
        <f t="shared" ref="D18:D19" si="2">IF(B18&lt;C18,"Understatement",(IF(B18&gt;C18,(B18-C18)/B18,0)))</f>
        <v>0.65300000000000002</v>
      </c>
      <c r="E18" s="14">
        <f t="shared" si="0"/>
        <v>1.4999999999999999E-2</v>
      </c>
      <c r="F18" s="16">
        <f t="shared" si="1"/>
        <v>2938.5</v>
      </c>
      <c r="G18" s="27"/>
    </row>
    <row r="19" spans="1:7" x14ac:dyDescent="0.25">
      <c r="A19" s="10">
        <v>3</v>
      </c>
      <c r="B19" s="3">
        <v>1200</v>
      </c>
      <c r="C19" s="3">
        <v>900</v>
      </c>
      <c r="D19" s="11">
        <f t="shared" si="2"/>
        <v>0.25</v>
      </c>
      <c r="E19" s="14">
        <f t="shared" si="0"/>
        <v>1.4E-2</v>
      </c>
      <c r="F19" s="16">
        <f t="shared" si="1"/>
        <v>1050</v>
      </c>
      <c r="G19" s="27"/>
    </row>
    <row r="20" spans="1:7" x14ac:dyDescent="0.25">
      <c r="A20" s="10">
        <v>4</v>
      </c>
      <c r="B20" s="3"/>
      <c r="C20" s="3"/>
    </row>
    <row r="21" spans="1:7" x14ac:dyDescent="0.25">
      <c r="A21" s="10">
        <v>5</v>
      </c>
      <c r="B21" s="3"/>
      <c r="C21" s="3"/>
    </row>
    <row r="22" spans="1:7" x14ac:dyDescent="0.25">
      <c r="A22" s="10">
        <v>6</v>
      </c>
      <c r="B22" s="3"/>
      <c r="C22" s="3"/>
    </row>
    <row r="23" spans="1:7" x14ac:dyDescent="0.25">
      <c r="A23" s="10">
        <v>7</v>
      </c>
      <c r="B23" s="3"/>
      <c r="C23" s="3"/>
    </row>
    <row r="24" spans="1:7" x14ac:dyDescent="0.25">
      <c r="A24" s="10">
        <v>8</v>
      </c>
      <c r="B24" s="3"/>
      <c r="C24" s="3"/>
    </row>
    <row r="25" spans="1:7" x14ac:dyDescent="0.25">
      <c r="A25" s="10">
        <v>9</v>
      </c>
      <c r="B25" s="3"/>
      <c r="C25" s="3"/>
    </row>
    <row r="26" spans="1:7" x14ac:dyDescent="0.25">
      <c r="A26" s="10">
        <v>10</v>
      </c>
      <c r="B26" s="3"/>
      <c r="C26" s="3"/>
      <c r="F26" s="18"/>
    </row>
    <row r="27" spans="1:7" x14ac:dyDescent="0.25">
      <c r="A27" s="17" t="s">
        <v>16</v>
      </c>
      <c r="F27" s="16">
        <f>SUM(F16:F26)</f>
        <v>17252.099999999999</v>
      </c>
    </row>
    <row r="28" spans="1:7" x14ac:dyDescent="0.25">
      <c r="A28" s="17" t="s">
        <v>17</v>
      </c>
      <c r="F28" s="3">
        <f>$B$5/$B$10*SUM(D34:D43)</f>
        <v>300</v>
      </c>
    </row>
    <row r="29" spans="1:7" ht="15.75" thickBot="1" x14ac:dyDescent="0.3">
      <c r="A29" s="17" t="s">
        <v>18</v>
      </c>
      <c r="F29" s="21">
        <f>F27-F28</f>
        <v>16952.099999999999</v>
      </c>
    </row>
    <row r="30" spans="1:7" ht="15.75" thickTop="1" x14ac:dyDescent="0.25">
      <c r="A30" s="17"/>
    </row>
    <row r="31" spans="1:7" ht="26.25" x14ac:dyDescent="0.25">
      <c r="A31" s="6" t="s">
        <v>10</v>
      </c>
      <c r="B31" s="7" t="s">
        <v>9</v>
      </c>
      <c r="C31" s="7" t="s">
        <v>11</v>
      </c>
      <c r="D31" s="7" t="s">
        <v>12</v>
      </c>
      <c r="E31" s="13" t="s">
        <v>13</v>
      </c>
      <c r="F31" s="7" t="s">
        <v>14</v>
      </c>
    </row>
    <row r="32" spans="1:7" x14ac:dyDescent="0.25">
      <c r="A32" s="10" t="s">
        <v>19</v>
      </c>
    </row>
    <row r="33" spans="1:6" x14ac:dyDescent="0.25">
      <c r="A33" s="10">
        <v>0</v>
      </c>
      <c r="D33" s="19">
        <v>1</v>
      </c>
      <c r="E33" s="14">
        <f>ROUND(_xlfn.BETA.INV(1-$B$8,1+A33,$B$10-A33),3)</f>
        <v>0.03</v>
      </c>
      <c r="F33" s="16">
        <f>$B$5*D33*E33</f>
        <v>9000</v>
      </c>
    </row>
    <row r="34" spans="1:6" x14ac:dyDescent="0.25">
      <c r="A34" s="10">
        <v>1</v>
      </c>
      <c r="B34">
        <v>700</v>
      </c>
      <c r="C34">
        <v>770</v>
      </c>
      <c r="D34" s="20">
        <f>IF(B34&gt;C34,"Overstatement",(IF(B34&lt;C34,(C34-B34)/B34,0)))</f>
        <v>0.1</v>
      </c>
      <c r="E34" s="14">
        <f>ROUND(_xlfn.BETA.INV(1-$B$8,1+A34,$B$10-A34)-_xlfn.BETA.INV(1-$B$8,1+A33,$B$10-A33),3)</f>
        <v>1.7000000000000001E-2</v>
      </c>
      <c r="F34" s="16">
        <f>$B$5*D34*E34</f>
        <v>510.00000000000006</v>
      </c>
    </row>
    <row r="35" spans="1:6" x14ac:dyDescent="0.25">
      <c r="A35" s="10">
        <v>2</v>
      </c>
    </row>
    <row r="36" spans="1:6" x14ac:dyDescent="0.25">
      <c r="A36" s="10">
        <v>3</v>
      </c>
    </row>
    <row r="37" spans="1:6" x14ac:dyDescent="0.25">
      <c r="A37" s="10">
        <v>4</v>
      </c>
    </row>
    <row r="38" spans="1:6" x14ac:dyDescent="0.25">
      <c r="A38" s="10">
        <v>5</v>
      </c>
    </row>
    <row r="39" spans="1:6" x14ac:dyDescent="0.25">
      <c r="A39" s="10">
        <v>6</v>
      </c>
    </row>
    <row r="40" spans="1:6" x14ac:dyDescent="0.25">
      <c r="A40" s="10">
        <v>7</v>
      </c>
    </row>
    <row r="41" spans="1:6" x14ac:dyDescent="0.25">
      <c r="A41" s="10">
        <v>8</v>
      </c>
    </row>
    <row r="42" spans="1:6" x14ac:dyDescent="0.25">
      <c r="A42" s="10">
        <v>9</v>
      </c>
    </row>
    <row r="43" spans="1:6" x14ac:dyDescent="0.25">
      <c r="A43" s="10">
        <v>10</v>
      </c>
    </row>
    <row r="44" spans="1:6" x14ac:dyDescent="0.25">
      <c r="A44" s="17" t="s">
        <v>20</v>
      </c>
      <c r="F44" s="23">
        <f>SUM(F33:F43)</f>
        <v>9510</v>
      </c>
    </row>
    <row r="45" spans="1:6" x14ac:dyDescent="0.25">
      <c r="A45" s="22" t="s">
        <v>21</v>
      </c>
      <c r="F45" s="24">
        <f>B5/B10*SUM(D17:D26)</f>
        <v>5217</v>
      </c>
    </row>
    <row r="46" spans="1:6" ht="15.75" thickBot="1" x14ac:dyDescent="0.3">
      <c r="A46" s="22" t="s">
        <v>22</v>
      </c>
      <c r="F46" s="21">
        <f>F44-F45</f>
        <v>4293</v>
      </c>
    </row>
    <row r="47" spans="1:6" ht="15.75" thickTop="1" x14ac:dyDescent="0.25"/>
    <row r="49" spans="1:2" x14ac:dyDescent="0.25">
      <c r="A49" s="25" t="s">
        <v>23</v>
      </c>
      <c r="B49" s="26" t="str">
        <f>IF(AND(F29&lt;=B6,F46&lt;=B6),"Accept the population as fairly stated","Reject the population as materially misstated")</f>
        <v>Accept the population as fairly stated</v>
      </c>
    </row>
  </sheetData>
  <conditionalFormatting sqref="D17:D19">
    <cfRule type="cellIs" dxfId="3" priority="5" stopIfTrue="1" operator="equal">
      <formula>0</formula>
    </cfRule>
    <cfRule type="cellIs" dxfId="2" priority="6" stopIfTrue="1" operator="equal">
      <formula>"Understatement"</formula>
    </cfRule>
  </conditionalFormatting>
  <conditionalFormatting sqref="D34">
    <cfRule type="cellIs" dxfId="1" priority="1" stopIfTrue="1" operator="equal">
      <formula>0</formula>
    </cfRule>
    <cfRule type="cellIs" dxfId="0" priority="2" stopIfTrue="1" operator="equal">
      <formula>"Overstatement"</formula>
    </cfRule>
  </conditionalFormatting>
  <pageMargins left="0.7" right="0.7" top="0.75" bottom="0.75" header="0.3" footer="0.3"/>
  <pageSetup paperSize="9" orientation="portrait" r:id="rId1"/>
  <ignoredErrors>
    <ignoredError sqref="D17:D19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8" sqref="P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Kenneth Infante</cp:lastModifiedBy>
  <dcterms:created xsi:type="dcterms:W3CDTF">2015-06-05T18:17:20Z</dcterms:created>
  <dcterms:modified xsi:type="dcterms:W3CDTF">2017-12-01T14:55:25Z</dcterms:modified>
</cp:coreProperties>
</file>